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face\Documents\FPA Project\fpa_projectoutputs\Telco\"/>
    </mc:Choice>
  </mc:AlternateContent>
  <xr:revisionPtr revIDLastSave="0" documentId="13_ncr:1_{EE220E18-3017-4F32-97F0-407B83E782A2}" xr6:coauthVersionLast="47" xr6:coauthVersionMax="47" xr10:uidLastSave="{00000000-0000-0000-0000-000000000000}"/>
  <bookViews>
    <workbookView xWindow="-93" yWindow="-93" windowWidth="18426" windowHeight="11746" tabRatio="871" xr2:uid="{43E5F984-D1DF-47A2-BAA5-2424F108A4FF}"/>
  </bookViews>
  <sheets>
    <sheet name="Dashboard" sheetId="11" r:id="rId1"/>
    <sheet name="Executive_KPIs" sheetId="2" r:id="rId2"/>
    <sheet name="Revenue_By_Contract" sheetId="3" r:id="rId3"/>
    <sheet name="Churn_By_Contract" sheetId="4" r:id="rId4"/>
    <sheet name="Churn_By_Tenure" sheetId="6" r:id="rId5"/>
    <sheet name="Churn_By_Payment" sheetId="8" r:id="rId6"/>
    <sheet name="Revenue_At_Risk" sheetId="7" r:id="rId7"/>
    <sheet name="Revenue_Dropoff" sheetId="9" r:id="rId8"/>
    <sheet name="Driver_Tree" sheetId="5" r:id="rId9"/>
    <sheet name="Revenue_Decomposition" sheetId="12" r:id="rId10"/>
  </sheets>
  <definedNames>
    <definedName name="_xlchart.v1.0" hidden="1">Revenue_Decomposition!$A$5:$A$8</definedName>
    <definedName name="_xlchart.v1.1" hidden="1">Revenue_Decomposition!$B$4</definedName>
    <definedName name="_xlchart.v1.2" hidden="1">Revenue_Decomposition!$B$5:$B$8</definedName>
    <definedName name="ExternalData_1" localSheetId="1" hidden="1">Executive_KPIs!$A$1:$E$2</definedName>
    <definedName name="ExternalData_2" localSheetId="2" hidden="1">'Revenue_By_Contract'!$A$1:$F$4</definedName>
    <definedName name="ExternalData_3" localSheetId="3" hidden="1">'Churn_By_Contract'!$A$1:$E$4</definedName>
    <definedName name="_xlnm.Print_Area" localSheetId="0">Dashboard!$A$1:$L$53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2" l="1"/>
  <c r="B7" i="12"/>
  <c r="B6" i="12"/>
  <c r="E4" i="9"/>
  <c r="E3" i="9"/>
  <c r="E2" i="9"/>
  <c r="D4" i="9"/>
  <c r="D3" i="9"/>
  <c r="D2" i="9"/>
  <c r="G2" i="3"/>
  <c r="G3" i="3"/>
  <c r="G4" i="3"/>
  <c r="D2" i="3"/>
  <c r="D3" i="3"/>
  <c r="D4" i="3"/>
  <c r="B8" i="1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17A14A-A35A-413D-B7BA-ADA7ABFDC3C3}" keepAlive="1" name="Query - churn_by_contract" description="Connection to the 'churn_by_contract' query in the workbook." type="5" refreshedVersion="8" background="1" saveData="1">
    <dbPr connection="Provider=Microsoft.Mashup.OleDb.1;Data Source=$Workbook$;Location=churn_by_contract;Extended Properties=&quot;&quot;" command="SELECT * FROM [churn_by_contract]"/>
  </connection>
  <connection id="2" xr16:uid="{8A9F963B-73A1-43F8-9188-BDD83E5C4B2D}" keepAlive="1" name="Query - executive_kpis" description="Connection to the 'executive_kpis' query in the workbook." type="5" refreshedVersion="8" background="1" saveData="1">
    <dbPr connection="Provider=Microsoft.Mashup.OleDb.1;Data Source=$Workbook$;Location=executive_kpis;Extended Properties=&quot;&quot;" command="SELECT * FROM [executive_kpis]"/>
  </connection>
  <connection id="3" xr16:uid="{1EE0B7DD-4585-46CB-BCF5-54C7DBEBFE28}" keepAlive="1" name="Query - revenue_by_contract" description="Connection to the 'revenue_by_contract' query in the workbook." type="5" refreshedVersion="8" background="1" saveData="1">
    <dbPr connection="Provider=Microsoft.Mashup.OleDb.1;Data Source=$Workbook$;Location=revenue_by_contract;Extended Properties=&quot;&quot;" command="SELECT * FROM [revenue_by_contract]"/>
  </connection>
</connections>
</file>

<file path=xl/sharedStrings.xml><?xml version="1.0" encoding="utf-8"?>
<sst xmlns="http://schemas.openxmlformats.org/spreadsheetml/2006/main" count="80" uniqueCount="53">
  <si>
    <t>total_customers</t>
  </si>
  <si>
    <t>total_mrr</t>
  </si>
  <si>
    <t>arpu</t>
  </si>
  <si>
    <t>churn_rate</t>
  </si>
  <si>
    <t>revenue_at_risk</t>
  </si>
  <si>
    <t>contract</t>
  </si>
  <si>
    <t>customers</t>
  </si>
  <si>
    <t>revenue</t>
  </si>
  <si>
    <t>revenue_share</t>
  </si>
  <si>
    <t>Month-to-month</t>
  </si>
  <si>
    <t>Two year</t>
  </si>
  <si>
    <t>One year</t>
  </si>
  <si>
    <t>churned_customers</t>
  </si>
  <si>
    <t>retained_customers</t>
  </si>
  <si>
    <t>retention_rate</t>
  </si>
  <si>
    <t>6-12 months</t>
  </si>
  <si>
    <t>24+ months</t>
  </si>
  <si>
    <t>12-24 months</t>
  </si>
  <si>
    <t>0-6 months</t>
  </si>
  <si>
    <t>tenure_group</t>
  </si>
  <si>
    <t>Credit card (automatic)</t>
  </si>
  <si>
    <t>Bank transfer (automatic)</t>
  </si>
  <si>
    <t>Mailed check</t>
  </si>
  <si>
    <t>Electronic check</t>
  </si>
  <si>
    <t>payment_method</t>
  </si>
  <si>
    <t>Executive Summary</t>
  </si>
  <si>
    <t>Format</t>
  </si>
  <si>
    <t>Churn Revenue Impact</t>
  </si>
  <si>
    <t>total_revenue</t>
  </si>
  <si>
    <t>loss_rate</t>
  </si>
  <si>
    <t>approx_total_diff</t>
  </si>
  <si>
    <t>diff_due_to_arpu</t>
  </si>
  <si>
    <t>diff_due_to_customers</t>
  </si>
  <si>
    <t>revenue_diff</t>
  </si>
  <si>
    <t>contract_b</t>
  </si>
  <si>
    <t>contract_a</t>
  </si>
  <si>
    <t>ARPU effect</t>
  </si>
  <si>
    <t>Lost Revenue</t>
  </si>
  <si>
    <t>Retained Revenue</t>
  </si>
  <si>
    <t>Churn Drivers &amp; Revenue Stability Analysis</t>
  </si>
  <si>
    <t>Two-year revenue</t>
  </si>
  <si>
    <t>Customer count effect</t>
  </si>
  <si>
    <t>Month-to-month revenue</t>
  </si>
  <si>
    <t>Step</t>
  </si>
  <si>
    <t>Revenue</t>
  </si>
  <si>
    <t>Revenue &amp; Churn Analysis</t>
  </si>
  <si>
    <t>Title</t>
  </si>
  <si>
    <t>Telco Customer Revenue &amp; Churn Analysis</t>
  </si>
  <si>
    <t>Dataset</t>
  </si>
  <si>
    <t>Telco Custoemr Churn Dataset (~7,000 customer records)</t>
  </si>
  <si>
    <t>GitHub Repository</t>
  </si>
  <si>
    <t>github.com/sherrizhang99-lang/Telco-Churn-Analysis</t>
  </si>
  <si>
    <t>SQL quiries and  analysis workflow available 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</si>
</sst>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Sans-serif"/>
    </font>
    <font>
      <sz val="12"/>
      <color theme="0" tint="-0.499984740745262"/>
      <name val="Sans-serif"/>
    </font>
    <font>
      <b/>
      <sz val="11"/>
      <color theme="1"/>
      <name val="Sans-serif"/>
    </font>
    <font>
      <sz val="24"/>
      <color theme="4" tint="-0.499984740745262"/>
      <name val="Sans-serif"/>
    </font>
    <font>
      <b/>
      <sz val="11"/>
      <color theme="4" tint="-0.499984740745262"/>
      <name val="Sans-serif"/>
    </font>
    <font>
      <sz val="14"/>
      <color rgb="FF3A3A3A"/>
      <name val="Sans-serif"/>
    </font>
    <font>
      <u/>
      <sz val="11"/>
      <color theme="10"/>
      <name val="Aptos Narrow"/>
      <family val="2"/>
      <scheme val="minor"/>
    </font>
    <font>
      <b/>
      <sz val="12"/>
      <color rgb="FF3A3A3A"/>
      <name val="Sans-serif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3">
    <xf numFmtId="0" fontId="0" fillId="0" borderId="0" xfId="0"/>
    <xf numFmtId="0" fontId="2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44" fontId="0" fillId="0" borderId="0" xfId="1" applyFont="1"/>
    <xf numFmtId="9" fontId="0" fillId="0" borderId="0" xfId="2" applyFont="1"/>
    <xf numFmtId="164" fontId="0" fillId="0" borderId="0" xfId="1" applyNumberFormat="1" applyFont="1"/>
    <xf numFmtId="164" fontId="0" fillId="0" borderId="0" xfId="0" applyNumberFormat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0" fillId="2" borderId="0" xfId="0" applyFill="1" applyAlignment="1">
      <alignment vertical="top"/>
    </xf>
    <xf numFmtId="0" fontId="7" fillId="2" borderId="0" xfId="0" applyFont="1" applyFill="1" applyAlignment="1">
      <alignment horizontal="left" indent="1"/>
    </xf>
    <xf numFmtId="0" fontId="9" fillId="3" borderId="1" xfId="0" applyFont="1" applyFill="1" applyBorder="1" applyAlignment="1">
      <alignment horizontal="right"/>
    </xf>
    <xf numFmtId="0" fontId="9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8" fillId="3" borderId="5" xfId="3" applyFont="1" applyFill="1" applyBorder="1" applyAlignment="1">
      <alignment horizontal="left"/>
    </xf>
    <xf numFmtId="0" fontId="8" fillId="3" borderId="6" xfId="3" applyFont="1" applyFill="1" applyBorder="1" applyAlignment="1">
      <alignment horizontal="left"/>
    </xf>
    <xf numFmtId="0" fontId="8" fillId="3" borderId="7" xfId="3" applyFont="1" applyFill="1" applyBorder="1" applyAlignment="1">
      <alignment horizontal="left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7">
    <dxf>
      <numFmt numFmtId="0" formatCode="General"/>
    </dxf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colors>
    <mruColors>
      <color rgb="FFCC6600"/>
      <color rgb="FF3A3A3A"/>
      <color rgb="FF135573"/>
      <color rgb="FF1F6C8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ns-serif"/>
                <a:ea typeface="Roboto" panose="020F0502020204030204" pitchFamily="2" charset="0"/>
                <a:cs typeface="Roboto" panose="020F0502020204030204" pitchFamily="2" charset="0"/>
              </a:defRPr>
            </a:pPr>
            <a:r>
              <a:rPr lang="en-US" sz="1100" b="0">
                <a:solidFill>
                  <a:schemeClr val="bg2">
                    <a:lumMod val="50000"/>
                  </a:schemeClr>
                </a:solidFill>
              </a:rPr>
              <a:t>Revenue by Contract Type</a:t>
            </a:r>
          </a:p>
          <a:p>
            <a:pPr algn="l">
              <a:defRPr/>
            </a:pPr>
            <a:r>
              <a:rPr lang="en-US" sz="800" b="0">
                <a:solidFill>
                  <a:schemeClr val="bg2">
                    <a:lumMod val="50000"/>
                  </a:schemeClr>
                </a:solidFill>
              </a:rPr>
              <a:t>In thousand</a:t>
            </a:r>
          </a:p>
        </c:rich>
      </c:tx>
      <c:layout>
        <c:manualLayout>
          <c:xMode val="edge"/>
          <c:yMode val="edge"/>
          <c:x val="3.0824999247675299E-2"/>
          <c:y val="4.51927702954681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ns-serif"/>
              <a:ea typeface="Roboto" panose="020F0502020204030204" pitchFamily="2" charset="0"/>
              <a:cs typeface="Roboto" panose="020F0502020204030204" pitchFamily="2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'Revenue_By_Contract'!$C$1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##,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Sens-serif"/>
                    <a:ea typeface="Roboto" panose="020F0502020204030204" pitchFamily="2" charset="0"/>
                    <a:cs typeface="Roboto" panose="020F0502020204030204" pitchFamily="2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'Revenue_By_Contract'!$A$2:$A$4</c:f>
              <c:strCache>
                <c:ptCount val="3"/>
                <c:pt idx="0">
                  <c:v>Month-to-month</c:v>
                </c:pt>
                <c:pt idx="1">
                  <c:v>Two year</c:v>
                </c:pt>
                <c:pt idx="2">
                  <c:v>One year</c:v>
                </c:pt>
              </c:strCache>
            </c:strRef>
          </c:cat>
          <c:val>
            <c:numRef>
              <c:f>'Revenue_By_Contract'!$C$2:$C$4</c:f>
              <c:numCache>
                <c:formatCode>_("$"* #,##0_);_("$"* \(#,##0\);_("$"* "-"??_);_(@_)</c:formatCode>
                <c:ptCount val="3"/>
                <c:pt idx="0">
                  <c:v>257294.15</c:v>
                </c:pt>
                <c:pt idx="1">
                  <c:v>103005.85</c:v>
                </c:pt>
                <c:pt idx="2">
                  <c:v>95816.6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28-4EA9-9823-F24E9C9D5B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986983680"/>
        <c:axId val="1986973600"/>
      </c:barChart>
      <c:catAx>
        <c:axId val="1986983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Sens-serif"/>
                <a:ea typeface="Roboto" panose="020F0502020204030204" pitchFamily="2" charset="0"/>
                <a:cs typeface="Roboto" panose="020F0502020204030204" pitchFamily="2" charset="0"/>
              </a:defRPr>
            </a:pPr>
            <a:endParaRPr lang="en-US"/>
          </a:p>
        </c:txPr>
        <c:crossAx val="1986973600"/>
        <c:crosses val="autoZero"/>
        <c:auto val="1"/>
        <c:lblAlgn val="ctr"/>
        <c:lblOffset val="100"/>
        <c:noMultiLvlLbl val="0"/>
      </c:catAx>
      <c:valAx>
        <c:axId val="1986973600"/>
        <c:scaling>
          <c:orientation val="minMax"/>
        </c:scaling>
        <c:delete val="1"/>
        <c:axPos val="l"/>
        <c:numFmt formatCode="_(&quot;$&quot;* #,##0_);_(&quot;$&quot;* \(#,##0\);_(&quot;$&quot;* &quot;-&quot;??_);_(@_)" sourceLinked="1"/>
        <c:majorTickMark val="none"/>
        <c:minorTickMark val="none"/>
        <c:tickLblPos val="nextTo"/>
        <c:crossAx val="1986983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latin typeface="Sens-serif"/>
          <a:ea typeface="Roboto" panose="020F0502020204030204" pitchFamily="2" charset="0"/>
          <a:cs typeface="Roboto" panose="020F05020202040302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Sens-serif"/>
                <a:ea typeface="+mn-ea"/>
                <a:cs typeface="+mn-cs"/>
              </a:defRPr>
            </a:pPr>
            <a:r>
              <a:rPr lang="en-US" sz="1100"/>
              <a:t>Churn Rate by Contract Type</a:t>
            </a:r>
          </a:p>
        </c:rich>
      </c:tx>
      <c:layout>
        <c:manualLayout>
          <c:xMode val="edge"/>
          <c:yMode val="edge"/>
          <c:x val="2.664521165270535E-2"/>
          <c:y val="4.37338064389937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Sens-serif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58576871598428759"/>
          <c:y val="0.14324425571923954"/>
          <c:w val="0.29838792007112358"/>
          <c:h val="0.77680091189977118"/>
        </c:manualLayout>
      </c:layout>
      <c:pieChart>
        <c:varyColors val="1"/>
        <c:ser>
          <c:idx val="0"/>
          <c:order val="0"/>
          <c:tx>
            <c:strRef>
              <c:f>'Churn_By_Contract'!$E$1</c:f>
              <c:strCache>
                <c:ptCount val="1"/>
                <c:pt idx="0">
                  <c:v>churn_rate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B6-45BC-9185-C0AEAD0E850C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B6-45BC-9185-C0AEAD0E850C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B6-45BC-9185-C0AEAD0E850C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EAF1B7C3-C0A9-4A9E-BE50-FDE79FA514C0}" type="VALUE">
                      <a:rPr lang="en-US">
                        <a:solidFill>
                          <a:schemeClr val="accent1">
                            <a:lumMod val="50000"/>
                          </a:schemeClr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FB6-45BC-9185-C0AEAD0E85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Sens-serif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'Churn_By_Contract'!$A$2:$A$4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'Churn_By_Contract'!$E$2:$E$4</c:f>
              <c:numCache>
                <c:formatCode>0%</c:formatCode>
                <c:ptCount val="3"/>
                <c:pt idx="0">
                  <c:v>0.42709999999999998</c:v>
                </c:pt>
                <c:pt idx="1">
                  <c:v>0.11269999999999999</c:v>
                </c:pt>
                <c:pt idx="2">
                  <c:v>2.8299999999999999E-2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B6-45BC-9185-C0AEAD0E850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0.12992213034228484"/>
          <c:y val="0.34075108862375658"/>
          <c:w val="0.34963830290419606"/>
          <c:h val="0.324103041468869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2">
                  <a:lumMod val="50000"/>
                </a:schemeClr>
              </a:solidFill>
              <a:latin typeface="Sens-serif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bg2">
              <a:lumMod val="50000"/>
            </a:schemeClr>
          </a:solidFill>
          <a:latin typeface="Sens-serif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Sens-serif"/>
                <a:ea typeface="+mn-ea"/>
                <a:cs typeface="+mn-cs"/>
              </a:defRPr>
            </a:pPr>
            <a:r>
              <a:rPr lang="en-US" sz="1100"/>
              <a:t>Churn Rate by Tenure</a:t>
            </a:r>
          </a:p>
        </c:rich>
      </c:tx>
      <c:layout>
        <c:manualLayout>
          <c:xMode val="edge"/>
          <c:yMode val="edge"/>
          <c:x val="3.4778469624467345E-2"/>
          <c:y val="5.18741405367135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Sens-serif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Churn_By_Tenure!$D$1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Sens-serif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Churn_By_Tenure!$A$2:$A$5</c:f>
              <c:strCache>
                <c:ptCount val="4"/>
                <c:pt idx="0">
                  <c:v>24+ months</c:v>
                </c:pt>
                <c:pt idx="1">
                  <c:v>12-24 months</c:v>
                </c:pt>
                <c:pt idx="2">
                  <c:v>6-12 months</c:v>
                </c:pt>
                <c:pt idx="3">
                  <c:v>0-6 months</c:v>
                </c:pt>
              </c:strCache>
            </c:strRef>
          </c:cat>
          <c:val>
            <c:numRef>
              <c:f>Churn_By_Tenure!$D$2:$D$5</c:f>
              <c:numCache>
                <c:formatCode>0%</c:formatCode>
                <c:ptCount val="4"/>
                <c:pt idx="0">
                  <c:v>0.1429</c:v>
                </c:pt>
                <c:pt idx="1">
                  <c:v>0.29509999999999997</c:v>
                </c:pt>
                <c:pt idx="2">
                  <c:v>0.36530000000000001</c:v>
                </c:pt>
                <c:pt idx="3">
                  <c:v>0.54269999999999996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1-40C0-B6C4-B0D4FA46F17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00527696"/>
        <c:axId val="100509936"/>
      </c:barChart>
      <c:catAx>
        <c:axId val="100527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Sens-serif"/>
                <a:ea typeface="+mn-ea"/>
                <a:cs typeface="+mn-cs"/>
              </a:defRPr>
            </a:pPr>
            <a:endParaRPr lang="en-US"/>
          </a:p>
        </c:txPr>
        <c:crossAx val="100509936"/>
        <c:crosses val="autoZero"/>
        <c:auto val="1"/>
        <c:lblAlgn val="ctr"/>
        <c:lblOffset val="100"/>
        <c:noMultiLvlLbl val="0"/>
      </c:catAx>
      <c:valAx>
        <c:axId val="10050993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0052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bg2">
              <a:lumMod val="50000"/>
            </a:schemeClr>
          </a:solidFill>
          <a:latin typeface="Sens-serif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Sens-serif"/>
                <a:ea typeface="+mn-ea"/>
                <a:cs typeface="+mn-cs"/>
              </a:defRPr>
            </a:pPr>
            <a:r>
              <a:rPr lang="en-US" sz="1100"/>
              <a:t>Churn Rate by Payment Method</a:t>
            </a:r>
          </a:p>
        </c:rich>
      </c:tx>
      <c:layout>
        <c:manualLayout>
          <c:xMode val="edge"/>
          <c:yMode val="edge"/>
          <c:x val="2.6816078129229533E-2"/>
          <c:y val="4.3147146037121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Sens-serif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Churn_By_Payment!$D$1</c:f>
              <c:strCache>
                <c:ptCount val="1"/>
                <c:pt idx="0">
                  <c:v>churn_rate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Sens-serif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Churn_By_Payment!$A$2:$A$5</c:f>
              <c:strCache>
                <c:ptCount val="4"/>
                <c:pt idx="0">
                  <c:v>Credit card (automatic)</c:v>
                </c:pt>
                <c:pt idx="1">
                  <c:v>Bank transfer (automatic)</c:v>
                </c:pt>
                <c:pt idx="2">
                  <c:v>Mailed check</c:v>
                </c:pt>
                <c:pt idx="3">
                  <c:v>Electronic check</c:v>
                </c:pt>
              </c:strCache>
            </c:strRef>
          </c:cat>
          <c:val>
            <c:numRef>
              <c:f>Churn_By_Payment!$D$2:$D$5</c:f>
              <c:numCache>
                <c:formatCode>0%</c:formatCode>
                <c:ptCount val="4"/>
                <c:pt idx="0">
                  <c:v>0.15240000000000001</c:v>
                </c:pt>
                <c:pt idx="1">
                  <c:v>0.1671</c:v>
                </c:pt>
                <c:pt idx="2">
                  <c:v>0.19109999999999999</c:v>
                </c:pt>
                <c:pt idx="3">
                  <c:v>0.45290000000000002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6-4A49-AF4B-BB831DD05A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6863712"/>
        <c:axId val="705566032"/>
      </c:barChart>
      <c:catAx>
        <c:axId val="706863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Sens-serif"/>
                <a:ea typeface="+mn-ea"/>
                <a:cs typeface="+mn-cs"/>
              </a:defRPr>
            </a:pPr>
            <a:endParaRPr lang="en-US"/>
          </a:p>
        </c:txPr>
        <c:crossAx val="705566032"/>
        <c:crosses val="autoZero"/>
        <c:auto val="1"/>
        <c:lblAlgn val="ctr"/>
        <c:lblOffset val="100"/>
        <c:noMultiLvlLbl val="0"/>
      </c:catAx>
      <c:valAx>
        <c:axId val="70556603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70686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bg2">
              <a:lumMod val="50000"/>
            </a:schemeClr>
          </a:solidFill>
          <a:latin typeface="Sens-serif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bg2">
                    <a:lumMod val="50000"/>
                  </a:schemeClr>
                </a:solidFill>
                <a:latin typeface="Sens-serif"/>
                <a:ea typeface="+mn-ea"/>
                <a:cs typeface="+mn-cs"/>
              </a:defRPr>
            </a:pPr>
            <a:r>
              <a:rPr lang="en-US" sz="1100"/>
              <a:t>Customer Retention by Contract Length</a:t>
            </a:r>
          </a:p>
        </c:rich>
      </c:tx>
      <c:layout>
        <c:manualLayout>
          <c:xMode val="edge"/>
          <c:yMode val="edge"/>
          <c:x val="2.2326629048729674E-2"/>
          <c:y val="5.2134218930879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bg2">
                  <a:lumMod val="50000"/>
                </a:schemeClr>
              </a:solidFill>
              <a:latin typeface="Sens-serif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Driver_Tree!$D$1</c:f>
              <c:strCache>
                <c:ptCount val="1"/>
                <c:pt idx="0">
                  <c:v>retention_rate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Sens-serif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Driver_Tree!$A$2:$A$4</c:f>
              <c:strCache>
                <c:ptCount val="3"/>
                <c:pt idx="0">
                  <c:v>Two year</c:v>
                </c:pt>
                <c:pt idx="1">
                  <c:v>One year</c:v>
                </c:pt>
                <c:pt idx="2">
                  <c:v>Month-to-month</c:v>
                </c:pt>
              </c:strCache>
            </c:strRef>
          </c:cat>
          <c:val>
            <c:numRef>
              <c:f>Driver_Tree!$D$2:$D$4</c:f>
              <c:numCache>
                <c:formatCode>0%</c:formatCode>
                <c:ptCount val="3"/>
                <c:pt idx="0">
                  <c:v>0.97170000000000001</c:v>
                </c:pt>
                <c:pt idx="1">
                  <c:v>0.88729999999999998</c:v>
                </c:pt>
                <c:pt idx="2">
                  <c:v>0.57289999999999996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F-4AA4-A6A7-87B9EF1861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876018640"/>
        <c:axId val="876020080"/>
      </c:barChart>
      <c:catAx>
        <c:axId val="87601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Sens-serif"/>
                <a:ea typeface="+mn-ea"/>
                <a:cs typeface="+mn-cs"/>
              </a:defRPr>
            </a:pPr>
            <a:endParaRPr lang="en-US"/>
          </a:p>
        </c:txPr>
        <c:crossAx val="876020080"/>
        <c:crosses val="autoZero"/>
        <c:auto val="1"/>
        <c:lblAlgn val="ctr"/>
        <c:lblOffset val="100"/>
        <c:noMultiLvlLbl val="0"/>
      </c:catAx>
      <c:valAx>
        <c:axId val="87602008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87601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 sz="1050">
          <a:solidFill>
            <a:schemeClr val="bg2">
              <a:lumMod val="50000"/>
            </a:schemeClr>
          </a:solidFill>
          <a:latin typeface="Sens-serif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series layoutId="waterfall" uniqueId="{17EDD3BB-6406-4DB0-95A8-D308A7B12775}">
          <cx:tx>
            <cx:txData>
              <cx:f>_xlchart.v1.1</cx:f>
              <cx:v>Revenue</cx:v>
            </cx:txData>
          </cx:tx>
          <cx:dataLabels pos="outEnd">
            <cx:numFmt formatCode="$0,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bg2">
                        <a:lumMod val="50000"/>
                      </a:schemeClr>
                    </a:solidFill>
                    <a:latin typeface="Sens-serif"/>
                    <a:ea typeface="Sens-serif"/>
                    <a:cs typeface="Sens-serif"/>
                  </a:defRPr>
                </a:pPr>
                <a:endParaRPr lang="en-US">
                  <a:solidFill>
                    <a:schemeClr val="bg2">
                      <a:lumMod val="50000"/>
                    </a:schemeClr>
                  </a:solidFill>
                  <a:latin typeface="Sens-serif"/>
                </a:endParaRPr>
              </a:p>
            </cx:txPr>
            <cx:visibility seriesName="0" categoryName="0" value="1"/>
            <cx:separator>, </cx:separator>
          </cx:dataLabels>
          <cx:dataId val="0"/>
          <cx:layoutPr>
            <cx:subtotals/>
          </cx:layoutPr>
        </cx:series>
      </cx:plotAreaRegion>
      <cx:axis id="0">
        <cx:catScaling gapWidth="0.5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2">
                    <a:lumMod val="50000"/>
                  </a:schemeClr>
                </a:solidFill>
                <a:latin typeface="Sens-serif"/>
                <a:ea typeface="Sens-serif"/>
                <a:cs typeface="Sens-serif"/>
              </a:defRPr>
            </a:pPr>
            <a:endParaRPr lang="en-US">
              <a:solidFill>
                <a:schemeClr val="bg2">
                  <a:lumMod val="50000"/>
                </a:schemeClr>
              </a:solidFill>
              <a:latin typeface="Sens-serif"/>
            </a:endParaRPr>
          </a:p>
        </cx:txPr>
      </cx:axis>
      <cx:axis id="1" hidden="1">
        <cx:val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bg2">
                    <a:lumMod val="50000"/>
                  </a:schemeClr>
                </a:solidFill>
                <a:latin typeface="Sens-serif"/>
                <a:ea typeface="Sens-serif"/>
                <a:cs typeface="Sens-serif"/>
              </a:defRPr>
            </a:pPr>
            <a:endParaRPr lang="en-US">
              <a:solidFill>
                <a:schemeClr val="bg2">
                  <a:lumMod val="50000"/>
                </a:schemeClr>
              </a:solidFill>
              <a:latin typeface="Sens-serif"/>
            </a:endParaRPr>
          </a:p>
        </cx:txPr>
      </cx:axis>
    </cx:plotArea>
  </cx:chart>
  <cx:spPr>
    <a:ln>
      <a:noFill/>
    </a:ln>
    <a:effectLst>
      <a:outerShdw blurRad="50800" dist="38100" dir="2700000" algn="tl" rotWithShape="0">
        <a:prstClr val="black">
          <a:alpha val="40000"/>
        </a:prstClr>
      </a:out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114376</xdr:colOff>
      <xdr:row>6</xdr:row>
      <xdr:rowOff>90577</xdr:rowOff>
    </xdr:from>
    <xdr:to>
      <xdr:col>1</xdr:col>
      <xdr:colOff>675007</xdr:colOff>
      <xdr:row>10</xdr:row>
      <xdr:rowOff>80315</xdr:rowOff>
    </xdr:to>
    <xdr:sp macro="" textlink="Executive_KPIs!A2">
      <xdr:nvSpPr>
        <xdr:cNvPr id="2" name="Rectangle: Rounded Corners 1">
          <a:extLst>
            <a:ext uri="{FF2B5EF4-FFF2-40B4-BE49-F238E27FC236}">
              <a16:creationId xmlns:a16="http://schemas.microsoft.com/office/drawing/2014/main" id="{2B9B0CCC-4561-6699-0277-1684E26F10A9}"/>
            </a:ext>
          </a:extLst>
        </xdr:cNvPr>
        <xdr:cNvSpPr/>
      </xdr:nvSpPr>
      <xdr:spPr>
        <a:xfrm>
          <a:off x="114376" y="1432854"/>
          <a:ext cx="1541525" cy="75380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50" b="0" i="0" u="none" strike="noStrike">
              <a:solidFill>
                <a:schemeClr val="accent1">
                  <a:lumMod val="50000"/>
                </a:schemeClr>
              </a:solidFill>
              <a:latin typeface="Sans-serif"/>
            </a:rPr>
            <a:t>Total Customers</a:t>
          </a:r>
        </a:p>
        <a:p>
          <a:pPr algn="ctr"/>
          <a:fld id="{EEF9404F-F12E-4DD2-82C6-5F1F6E177771}" type="TxLink">
            <a:rPr lang="en-US" sz="2500" b="1" i="0" u="none" strike="noStrike">
              <a:solidFill>
                <a:schemeClr val="accent1">
                  <a:lumMod val="50000"/>
                </a:schemeClr>
              </a:solidFill>
              <a:latin typeface="Sans-serif"/>
            </a:rPr>
            <a:pPr algn="ctr"/>
            <a:t>7043</a:t>
          </a:fld>
          <a:endParaRPr lang="en-US" sz="2500" b="1">
            <a:solidFill>
              <a:schemeClr val="accent1">
                <a:lumMod val="50000"/>
              </a:schemeClr>
            </a:solidFill>
            <a:latin typeface="Sans-serif"/>
          </a:endParaRPr>
        </a:p>
      </xdr:txBody>
    </xdr:sp>
    <xdr:clientData/>
  </xdr:twoCellAnchor>
  <xdr:twoCellAnchor>
    <xdr:from>
      <xdr:col>1</xdr:col>
      <xdr:colOff>755135</xdr:colOff>
      <xdr:row>6</xdr:row>
      <xdr:rowOff>80089</xdr:rowOff>
    </xdr:from>
    <xdr:to>
      <xdr:col>3</xdr:col>
      <xdr:colOff>591142</xdr:colOff>
      <xdr:row>10</xdr:row>
      <xdr:rowOff>69827</xdr:rowOff>
    </xdr:to>
    <xdr:sp macro="" textlink="Executive_KPIs!B2">
      <xdr:nvSpPr>
        <xdr:cNvPr id="4" name="Rectangle: Rounded Corners 3">
          <a:extLst>
            <a:ext uri="{FF2B5EF4-FFF2-40B4-BE49-F238E27FC236}">
              <a16:creationId xmlns:a16="http://schemas.microsoft.com/office/drawing/2014/main" id="{AB2A718C-2B84-47C6-9A0E-71AE15B33BB2}"/>
            </a:ext>
          </a:extLst>
        </xdr:cNvPr>
        <xdr:cNvSpPr/>
      </xdr:nvSpPr>
      <xdr:spPr>
        <a:xfrm>
          <a:off x="1736029" y="1422366"/>
          <a:ext cx="1544829" cy="75380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050" b="0" i="0" u="none" strike="noStrike">
              <a:solidFill>
                <a:schemeClr val="accent1">
                  <a:lumMod val="50000"/>
                </a:schemeClr>
              </a:solidFill>
              <a:latin typeface="Sans-serif"/>
              <a:ea typeface="+mn-ea"/>
              <a:cs typeface="+mn-cs"/>
            </a:rPr>
            <a:t>Total MRR</a:t>
          </a:r>
        </a:p>
        <a:p>
          <a:pPr marL="0" indent="0" algn="ctr"/>
          <a:fld id="{C020634F-FFD7-4881-99B4-8C8E15E16A42}" type="TxLink">
            <a:rPr lang="en-US" sz="2400" b="1" i="0" u="none" strike="noStrike">
              <a:solidFill>
                <a:schemeClr val="accent1">
                  <a:lumMod val="50000"/>
                </a:schemeClr>
              </a:solidFill>
              <a:latin typeface="Sans-serif"/>
              <a:ea typeface="+mn-ea"/>
              <a:cs typeface="+mn-cs"/>
            </a:rPr>
            <a:pPr marL="0" indent="0" algn="ctr"/>
            <a:t> $456,117 </a:t>
          </a:fld>
          <a:endParaRPr lang="en-US" sz="2400" b="1" i="0" u="none" strike="noStrike">
            <a:solidFill>
              <a:schemeClr val="accent1">
                <a:lumMod val="50000"/>
              </a:schemeClr>
            </a:solidFill>
            <a:latin typeface="Sans-serif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671232</xdr:colOff>
      <xdr:row>6</xdr:row>
      <xdr:rowOff>83903</xdr:rowOff>
    </xdr:from>
    <xdr:to>
      <xdr:col>5</xdr:col>
      <xdr:colOff>598769</xdr:colOff>
      <xdr:row>10</xdr:row>
      <xdr:rowOff>73641</xdr:rowOff>
    </xdr:to>
    <xdr:sp macro="" textlink="Executive_KPIs!C2">
      <xdr:nvSpPr>
        <xdr:cNvPr id="5" name="Rectangle: Rounded Corners 4">
          <a:extLst>
            <a:ext uri="{FF2B5EF4-FFF2-40B4-BE49-F238E27FC236}">
              <a16:creationId xmlns:a16="http://schemas.microsoft.com/office/drawing/2014/main" id="{9E95F2E6-B2AD-4FFE-B637-11756E7033AE}"/>
            </a:ext>
          </a:extLst>
        </xdr:cNvPr>
        <xdr:cNvSpPr/>
      </xdr:nvSpPr>
      <xdr:spPr>
        <a:xfrm>
          <a:off x="3360948" y="1426180"/>
          <a:ext cx="1543431" cy="75380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050" b="0" i="0" u="none" strike="noStrike">
              <a:solidFill>
                <a:schemeClr val="accent1">
                  <a:lumMod val="50000"/>
                </a:schemeClr>
              </a:solidFill>
              <a:latin typeface="Sens-serif"/>
              <a:ea typeface="+mn-ea"/>
              <a:cs typeface="+mn-cs"/>
            </a:rPr>
            <a:t>ARPU</a:t>
          </a:r>
        </a:p>
        <a:p>
          <a:pPr marL="0" indent="0" algn="ctr"/>
          <a:fld id="{415308FB-C735-4B09-A7C0-73710322E25D}" type="TxLink">
            <a:rPr lang="en-US" sz="2500" b="1" i="0" u="none" strike="noStrike">
              <a:solidFill>
                <a:schemeClr val="accent1">
                  <a:lumMod val="50000"/>
                </a:schemeClr>
              </a:solidFill>
              <a:latin typeface="Sens-serif"/>
              <a:ea typeface="+mn-ea"/>
              <a:cs typeface="+mn-cs"/>
            </a:rPr>
            <a:pPr marL="0" indent="0" algn="ctr"/>
            <a:t> $64.76 </a:t>
          </a:fld>
          <a:endParaRPr lang="en-US" sz="2500" b="1" i="0" u="none" strike="noStrike">
            <a:solidFill>
              <a:schemeClr val="accent1">
                <a:lumMod val="50000"/>
              </a:schemeClr>
            </a:solidFill>
            <a:latin typeface="Sens-serif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38138</xdr:colOff>
      <xdr:row>6</xdr:row>
      <xdr:rowOff>80090</xdr:rowOff>
    </xdr:from>
    <xdr:to>
      <xdr:col>8</xdr:col>
      <xdr:colOff>293663</xdr:colOff>
      <xdr:row>10</xdr:row>
      <xdr:rowOff>69828</xdr:rowOff>
    </xdr:to>
    <xdr:sp macro="" textlink="Executive_KPIs!D2">
      <xdr:nvSpPr>
        <xdr:cNvPr id="6" name="Rectangle: Rounded Corners 5">
          <a:extLst>
            <a:ext uri="{FF2B5EF4-FFF2-40B4-BE49-F238E27FC236}">
              <a16:creationId xmlns:a16="http://schemas.microsoft.com/office/drawing/2014/main" id="{2D0CF5AA-9D75-4EF7-AA03-D96726B6C06C}"/>
            </a:ext>
          </a:extLst>
        </xdr:cNvPr>
        <xdr:cNvSpPr/>
      </xdr:nvSpPr>
      <xdr:spPr>
        <a:xfrm>
          <a:off x="4989073" y="1422367"/>
          <a:ext cx="1546175" cy="75380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050" b="0" i="0" u="none" strike="noStrike">
              <a:solidFill>
                <a:schemeClr val="accent1">
                  <a:lumMod val="50000"/>
                </a:schemeClr>
              </a:solidFill>
              <a:latin typeface="Sens-serif"/>
              <a:ea typeface="+mn-ea"/>
              <a:cs typeface="+mn-cs"/>
            </a:rPr>
            <a:t>Churn Rate</a:t>
          </a:r>
        </a:p>
        <a:p>
          <a:pPr marL="0" indent="0" algn="ctr"/>
          <a:fld id="{E48F57BB-5E90-4157-8A96-CBF9C0D2EEFC}" type="TxLink">
            <a:rPr lang="en-US" sz="2500" b="1" i="0" u="none" strike="noStrike">
              <a:solidFill>
                <a:schemeClr val="accent1">
                  <a:lumMod val="50000"/>
                </a:schemeClr>
              </a:solidFill>
              <a:latin typeface="Aptos Narrow"/>
              <a:ea typeface="+mn-ea"/>
              <a:cs typeface="+mn-cs"/>
            </a:rPr>
            <a:pPr marL="0" indent="0" algn="ctr"/>
            <a:t>27%</a:t>
          </a:fld>
          <a:endParaRPr lang="en-US" sz="2500" b="1" i="0" u="none" strike="noStrike">
            <a:solidFill>
              <a:schemeClr val="accent1">
                <a:lumMod val="50000"/>
              </a:schemeClr>
            </a:solidFill>
            <a:latin typeface="Sens-serif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373600</xdr:colOff>
      <xdr:row>6</xdr:row>
      <xdr:rowOff>76123</xdr:rowOff>
    </xdr:from>
    <xdr:to>
      <xdr:col>10</xdr:col>
      <xdr:colOff>629127</xdr:colOff>
      <xdr:row>10</xdr:row>
      <xdr:rowOff>65861</xdr:rowOff>
    </xdr:to>
    <xdr:sp macro="" textlink="Executive_KPIs!E2">
      <xdr:nvSpPr>
        <xdr:cNvPr id="7" name="Rectangle: Rounded Corners 6">
          <a:extLst>
            <a:ext uri="{FF2B5EF4-FFF2-40B4-BE49-F238E27FC236}">
              <a16:creationId xmlns:a16="http://schemas.microsoft.com/office/drawing/2014/main" id="{A4DE5184-11FC-4EF8-8BC7-CF303D8C5FAB}"/>
            </a:ext>
          </a:extLst>
        </xdr:cNvPr>
        <xdr:cNvSpPr/>
      </xdr:nvSpPr>
      <xdr:spPr>
        <a:xfrm>
          <a:off x="6615185" y="1418400"/>
          <a:ext cx="1546177" cy="753802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en-US" sz="1050" b="0" i="0" u="none" strike="noStrike">
              <a:solidFill>
                <a:schemeClr val="accent1">
                  <a:lumMod val="50000"/>
                </a:schemeClr>
              </a:solidFill>
              <a:latin typeface="Sens-serif"/>
              <a:ea typeface="+mn-ea"/>
              <a:cs typeface="+mn-cs"/>
            </a:rPr>
            <a:t>Revenue at Risk</a:t>
          </a:r>
        </a:p>
        <a:p>
          <a:pPr marL="0" indent="0" algn="l"/>
          <a:fld id="{0E9A46D6-B0CD-4AC3-BBAE-D029728512DA}" type="TxLink">
            <a:rPr lang="en-US" sz="2400" b="1" i="0" u="none" strike="noStrike">
              <a:solidFill>
                <a:schemeClr val="accent1">
                  <a:lumMod val="50000"/>
                </a:schemeClr>
              </a:solidFill>
              <a:latin typeface="Sens-serif"/>
              <a:ea typeface="+mn-ea"/>
              <a:cs typeface="+mn-cs"/>
            </a:rPr>
            <a:pPr marL="0" indent="0" algn="l"/>
            <a:t> $139,131 </a:t>
          </a:fld>
          <a:endParaRPr lang="en-US" sz="2400" b="1" i="0" u="none" strike="noStrike">
            <a:solidFill>
              <a:schemeClr val="accent1">
                <a:lumMod val="50000"/>
              </a:schemeClr>
            </a:solidFill>
            <a:latin typeface="Sens-serif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97875</xdr:colOff>
      <xdr:row>16</xdr:row>
      <xdr:rowOff>171621</xdr:rowOff>
    </xdr:from>
    <xdr:to>
      <xdr:col>4</xdr:col>
      <xdr:colOff>747937</xdr:colOff>
      <xdr:row>24</xdr:row>
      <xdr:rowOff>147468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7955BDA0-FC2B-D865-D62A-54DF03238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807305</xdr:colOff>
      <xdr:row>16</xdr:row>
      <xdr:rowOff>176076</xdr:rowOff>
    </xdr:from>
    <xdr:to>
      <xdr:col>11</xdr:col>
      <xdr:colOff>44770</xdr:colOff>
      <xdr:row>24</xdr:row>
      <xdr:rowOff>151923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FBCC205A-665C-0B6B-2A9B-1C51C17F3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737501</xdr:colOff>
      <xdr:row>34</xdr:row>
      <xdr:rowOff>97598</xdr:rowOff>
    </xdr:from>
    <xdr:to>
      <xdr:col>11</xdr:col>
      <xdr:colOff>17107</xdr:colOff>
      <xdr:row>42</xdr:row>
      <xdr:rowOff>162568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A153811B-4016-D123-E311-F2BFF79F1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70551</xdr:colOff>
      <xdr:row>43</xdr:row>
      <xdr:rowOff>36275</xdr:rowOff>
    </xdr:from>
    <xdr:to>
      <xdr:col>4</xdr:col>
      <xdr:colOff>698050</xdr:colOff>
      <xdr:row>51</xdr:row>
      <xdr:rowOff>154719</xdr:rowOff>
    </xdr:to>
    <xdr:graphicFrame macro="">
      <xdr:nvGraphicFramePr>
        <xdr:cNvPr id="13" name="Chart 2">
          <a:extLst>
            <a:ext uri="{FF2B5EF4-FFF2-40B4-BE49-F238E27FC236}">
              <a16:creationId xmlns:a16="http://schemas.microsoft.com/office/drawing/2014/main" id="{2387B0F2-AA72-ECF2-78AF-EEE3A3B990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104742</xdr:colOff>
      <xdr:row>11</xdr:row>
      <xdr:rowOff>69828</xdr:rowOff>
    </xdr:from>
    <xdr:to>
      <xdr:col>11</xdr:col>
      <xdr:colOff>34914</xdr:colOff>
      <xdr:row>16</xdr:row>
      <xdr:rowOff>108415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A99273E-F8CA-2BC8-DAD4-451F890DAF10}"/>
            </a:ext>
          </a:extLst>
        </xdr:cNvPr>
        <xdr:cNvSpPr txBox="1"/>
      </xdr:nvSpPr>
      <xdr:spPr>
        <a:xfrm>
          <a:off x="104742" y="1628934"/>
          <a:ext cx="8107733" cy="993668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bg2">
                  <a:lumMod val="50000"/>
                </a:schemeClr>
              </a:solidFill>
            </a:rPr>
            <a:t>Key Insights</a:t>
          </a:r>
        </a:p>
        <a:p>
          <a:r>
            <a:rPr lang="en-US">
              <a:solidFill>
                <a:srgbClr val="CC6600"/>
              </a:solidFill>
            </a:rPr>
            <a:t>▪ </a:t>
          </a:r>
          <a:r>
            <a:rPr lang="en-US" b="1">
              <a:solidFill>
                <a:schemeClr val="accent1">
                  <a:lumMod val="50000"/>
                </a:schemeClr>
              </a:solidFill>
            </a:rPr>
            <a:t>Revenue concentration risk</a:t>
          </a:r>
          <a:endParaRPr lang="en-US">
            <a:solidFill>
              <a:schemeClr val="accent1">
                <a:lumMod val="50000"/>
              </a:schemeClr>
            </a:solidFill>
          </a:endParaRPr>
        </a:p>
        <a:p>
          <a:r>
            <a:rPr lang="en-US">
              <a:solidFill>
                <a:schemeClr val="accent1">
                  <a:lumMod val="50000"/>
                </a:schemeClr>
              </a:solidFill>
            </a:rPr>
            <a:t>Month-to-month contracts drive $257K</a:t>
          </a:r>
          <a:r>
            <a:rPr lang="en-US" baseline="0">
              <a:solidFill>
                <a:schemeClr val="accent1">
                  <a:lumMod val="50000"/>
                </a:schemeClr>
              </a:solidFill>
            </a:rPr>
            <a:t> or </a:t>
          </a:r>
          <a:r>
            <a:rPr lang="en-US">
              <a:solidFill>
                <a:schemeClr val="accent1">
                  <a:lumMod val="50000"/>
                </a:schemeClr>
              </a:solidFill>
            </a:rPr>
            <a:t>56% of total revenue but also exhibit the highest churn (43%).</a:t>
          </a:r>
        </a:p>
        <a:p>
          <a:r>
            <a:rPr lang="en-US" sz="1100">
              <a:solidFill>
                <a:srgbClr val="CC6600"/>
              </a:solidFill>
              <a:effectLst/>
              <a:latin typeface="+mn-lt"/>
              <a:ea typeface="+mn-ea"/>
              <a:cs typeface="+mn-cs"/>
            </a:rPr>
            <a:t>▪ </a:t>
          </a:r>
          <a:r>
            <a:rPr lang="en-US" b="1">
              <a:solidFill>
                <a:schemeClr val="accent1">
                  <a:lumMod val="50000"/>
                </a:schemeClr>
              </a:solidFill>
            </a:rPr>
            <a:t>Revenue exposure</a:t>
          </a:r>
          <a:endParaRPr lang="en-US">
            <a:solidFill>
              <a:schemeClr val="accent1">
                <a:lumMod val="50000"/>
              </a:schemeClr>
            </a:solidFill>
          </a:endParaRPr>
        </a:p>
        <a:p>
          <a:r>
            <a:rPr lang="en-US">
              <a:solidFill>
                <a:schemeClr val="accent1">
                  <a:lumMod val="50000"/>
                </a:schemeClr>
              </a:solidFill>
            </a:rPr>
            <a:t>Approximately $139K of monthly recurring revenue is currently at risk due to potential churn.</a:t>
          </a:r>
        </a:p>
      </xdr:txBody>
    </xdr:sp>
    <xdr:clientData/>
  </xdr:twoCellAnchor>
  <xdr:twoCellAnchor>
    <xdr:from>
      <xdr:col>0</xdr:col>
      <xdr:colOff>82881</xdr:colOff>
      <xdr:row>34</xdr:row>
      <xdr:rowOff>93808</xdr:rowOff>
    </xdr:from>
    <xdr:to>
      <xdr:col>4</xdr:col>
      <xdr:colOff>692768</xdr:colOff>
      <xdr:row>42</xdr:row>
      <xdr:rowOff>158778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25258B95-EFE6-D6A0-BF5C-A33806A2EF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91202</xdr:colOff>
      <xdr:row>26</xdr:row>
      <xdr:rowOff>67113</xdr:rowOff>
    </xdr:from>
    <xdr:to>
      <xdr:col>11</xdr:col>
      <xdr:colOff>20845</xdr:colOff>
      <xdr:row>34</xdr:row>
      <xdr:rowOff>36138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F0C847D-6A0E-4FEF-9BD3-3204422E30FC}"/>
            </a:ext>
          </a:extLst>
        </xdr:cNvPr>
        <xdr:cNvSpPr txBox="1"/>
      </xdr:nvSpPr>
      <xdr:spPr>
        <a:xfrm>
          <a:off x="91202" y="4571814"/>
          <a:ext cx="8114088" cy="1868597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>
              <a:solidFill>
                <a:schemeClr val="bg2">
                  <a:lumMod val="50000"/>
                </a:schemeClr>
              </a:solidFill>
            </a:rPr>
            <a:t>The structural drivers below explain the observeed churn patterns</a:t>
          </a:r>
        </a:p>
        <a:p>
          <a:r>
            <a:rPr lang="en-US">
              <a:solidFill>
                <a:srgbClr val="CC6600"/>
              </a:solidFill>
            </a:rPr>
            <a:t>▪ </a:t>
          </a:r>
          <a:r>
            <a:rPr lang="en-US" b="1" baseline="0">
              <a:solidFill>
                <a:schemeClr val="accent1">
                  <a:lumMod val="50000"/>
                </a:schemeClr>
              </a:solidFill>
            </a:rPr>
            <a:t>Contract Stability</a:t>
          </a:r>
        </a:p>
        <a:p>
          <a:r>
            <a:rPr lang="en-US">
              <a:solidFill>
                <a:schemeClr val="accent1">
                  <a:lumMod val="50000"/>
                </a:schemeClr>
              </a:solidFill>
            </a:rPr>
            <a:t>Retention increases sharply with contract length: 57% for month-to-month vs 97% for two-year contracts.</a:t>
          </a:r>
        </a:p>
        <a:p>
          <a:r>
            <a:rPr lang="en-US" sz="1100">
              <a:solidFill>
                <a:srgbClr val="CC6600"/>
              </a:solidFill>
              <a:effectLst/>
              <a:latin typeface="+mn-lt"/>
              <a:ea typeface="+mn-ea"/>
              <a:cs typeface="+mn-cs"/>
            </a:rPr>
            <a:t>▪ </a:t>
          </a:r>
          <a:r>
            <a:rPr lang="en-US" b="1">
              <a:solidFill>
                <a:schemeClr val="accent1">
                  <a:lumMod val="50000"/>
                </a:schemeClr>
              </a:solidFill>
            </a:rPr>
            <a:t>Lifecycle</a:t>
          </a:r>
          <a:r>
            <a:rPr lang="en-US" b="1" baseline="0">
              <a:solidFill>
                <a:schemeClr val="accent1">
                  <a:lumMod val="50000"/>
                </a:schemeClr>
              </a:solidFill>
            </a:rPr>
            <a:t> Driver</a:t>
          </a:r>
          <a:endParaRPr lang="en-US">
            <a:solidFill>
              <a:schemeClr val="accent1">
                <a:lumMod val="50000"/>
              </a:schemeClr>
            </a:solidFill>
          </a:endParaRPr>
        </a:p>
        <a:p>
          <a:r>
            <a:rPr lang="en-US">
              <a:solidFill>
                <a:schemeClr val="accent1">
                  <a:lumMod val="50000"/>
                </a:schemeClr>
              </a:solidFill>
            </a:rPr>
            <a:t>Customers within the first 6 months churn at 54%, highlighting onboarding as a critical retention stage.</a:t>
          </a:r>
        </a:p>
        <a:p>
          <a:r>
            <a:rPr lang="en-US" sz="1100">
              <a:solidFill>
                <a:srgbClr val="CC6600"/>
              </a:solidFill>
              <a:effectLst/>
              <a:latin typeface="+mn-lt"/>
              <a:ea typeface="+mn-ea"/>
              <a:cs typeface="+mn-cs"/>
            </a:rPr>
            <a:t>▪ </a:t>
          </a:r>
          <a:r>
            <a:rPr lang="en-US" b="1">
              <a:solidFill>
                <a:schemeClr val="accent1">
                  <a:lumMod val="50000"/>
                </a:schemeClr>
              </a:solidFill>
            </a:rPr>
            <a:t>Behavior</a:t>
          </a:r>
          <a:r>
            <a:rPr lang="en-US" b="1" baseline="0">
              <a:solidFill>
                <a:schemeClr val="accent1">
                  <a:lumMod val="50000"/>
                </a:schemeClr>
              </a:solidFill>
            </a:rPr>
            <a:t> Driver</a:t>
          </a:r>
          <a:endParaRPr lang="en-US">
            <a:solidFill>
              <a:schemeClr val="accent1">
                <a:lumMod val="50000"/>
              </a:schemeClr>
            </a:solidFill>
          </a:endParaRPr>
        </a:p>
        <a:p>
          <a:r>
            <a:rPr lang="en-US">
              <a:solidFill>
                <a:schemeClr val="accent1">
                  <a:lumMod val="50000"/>
                </a:schemeClr>
              </a:solidFill>
            </a:rPr>
            <a:t>Customers using manual payment methods churn up to 3X more than those using automated payments.</a:t>
          </a:r>
        </a:p>
        <a:p>
          <a:r>
            <a:rPr lang="en-US" sz="1100">
              <a:solidFill>
                <a:srgbClr val="CC6600"/>
              </a:solidFill>
              <a:effectLst/>
              <a:latin typeface="+mn-lt"/>
              <a:ea typeface="+mn-ea"/>
              <a:cs typeface="+mn-cs"/>
            </a:rPr>
            <a:t>▪ </a:t>
          </a:r>
          <a:r>
            <a:rPr lang="en-US" sz="1100" b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R</a:t>
          </a:r>
          <a:r>
            <a:rPr lang="en-US" altLang="zh-CN" sz="1100" b="1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evenue</a:t>
          </a:r>
          <a:r>
            <a:rPr lang="en-US" altLang="zh-CN" sz="1100" b="1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Driver</a:t>
          </a:r>
        </a:p>
        <a:p>
          <a:r>
            <a:rPr lang="en-US">
              <a:solidFill>
                <a:schemeClr val="accent1">
                  <a:lumMod val="50000"/>
                </a:schemeClr>
              </a:solidFill>
            </a:rPr>
            <a:t>$139</a:t>
          </a:r>
          <a:r>
            <a:rPr lang="en-US" baseline="0">
              <a:solidFill>
                <a:schemeClr val="accent1">
                  <a:lumMod val="50000"/>
                </a:schemeClr>
              </a:solidFill>
            </a:rPr>
            <a:t>K or </a:t>
          </a:r>
          <a:r>
            <a:rPr lang="en-US">
              <a:solidFill>
                <a:schemeClr val="accent1">
                  <a:lumMod val="50000"/>
                </a:schemeClr>
              </a:solidFill>
            </a:rPr>
            <a:t>~90% of the revenue gap is driven by customer volume rather than ARPU, indicating that contract structure—not pricing—is the primary factor behind revenue differences.</a:t>
          </a:r>
        </a:p>
      </xdr:txBody>
    </xdr:sp>
    <xdr:clientData/>
  </xdr:twoCellAnchor>
  <xdr:twoCellAnchor>
    <xdr:from>
      <xdr:col>4</xdr:col>
      <xdr:colOff>747337</xdr:colOff>
      <xdr:row>43</xdr:row>
      <xdr:rowOff>37066</xdr:rowOff>
    </xdr:from>
    <xdr:to>
      <xdr:col>11</xdr:col>
      <xdr:colOff>37014</xdr:colOff>
      <xdr:row>51</xdr:row>
      <xdr:rowOff>155510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Chart 2">
              <a:extLst>
                <a:ext uri="{FF2B5EF4-FFF2-40B4-BE49-F238E27FC236}">
                  <a16:creationId xmlns:a16="http://schemas.microsoft.com/office/drawing/2014/main" id="{D1A2D055-FDD1-FBA7-478C-79A160567B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1304" y="8050766"/>
              <a:ext cx="4086043" cy="15069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4</xdr:col>
      <xdr:colOff>827851</xdr:colOff>
      <xdr:row>43</xdr:row>
      <xdr:rowOff>71388</xdr:rowOff>
    </xdr:from>
    <xdr:ext cx="1869423" cy="38978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5E28AA1-6309-02AD-5BA3-E73BC9AED262}"/>
            </a:ext>
          </a:extLst>
        </xdr:cNvPr>
        <xdr:cNvSpPr txBox="1"/>
      </xdr:nvSpPr>
      <xdr:spPr>
        <a:xfrm>
          <a:off x="4203663" y="8098439"/>
          <a:ext cx="1869423" cy="3897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bg2">
                  <a:lumMod val="50000"/>
                </a:schemeClr>
              </a:solidFill>
              <a:latin typeface="Sens-serif"/>
            </a:rPr>
            <a:t>Revenue Gap Decomposition</a:t>
          </a:r>
        </a:p>
        <a:p>
          <a:r>
            <a:rPr lang="en-US" sz="800">
              <a:solidFill>
                <a:schemeClr val="bg2">
                  <a:lumMod val="50000"/>
                </a:schemeClr>
              </a:solidFill>
              <a:latin typeface="Sens-serif"/>
            </a:rPr>
            <a:t>In</a:t>
          </a:r>
          <a:r>
            <a:rPr lang="en-US" sz="800" baseline="0">
              <a:solidFill>
                <a:schemeClr val="bg2">
                  <a:lumMod val="50000"/>
                </a:schemeClr>
              </a:solidFill>
              <a:latin typeface="Sens-serif"/>
            </a:rPr>
            <a:t> Thousand</a:t>
          </a:r>
          <a:endParaRPr lang="en-US" sz="800">
            <a:solidFill>
              <a:schemeClr val="bg2">
                <a:lumMod val="50000"/>
              </a:schemeClr>
            </a:solidFill>
            <a:latin typeface="Sens-serif"/>
          </a:endParaRPr>
        </a:p>
      </xdr:txBody>
    </xdr:sp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92EBA5D-F1F4-4EF5-8FCF-595C73E399DF}" autoFormatId="16" applyNumberFormats="0" applyBorderFormats="0" applyFontFormats="0" applyPatternFormats="0" applyAlignmentFormats="0" applyWidthHeightFormats="0">
  <queryTableRefresh nextId="6">
    <queryTableFields count="5">
      <queryTableField id="1" name="total_customers" tableColumnId="1"/>
      <queryTableField id="2" name="total_mrr" tableColumnId="2"/>
      <queryTableField id="3" name="arpu" tableColumnId="3"/>
      <queryTableField id="4" name="churn_rate" tableColumnId="4"/>
      <queryTableField id="5" name="revenue_at_risk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0CE0C4EB-D11F-4527-A543-C9BE02092333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contract" tableColumnId="1"/>
      <queryTableField id="2" name="customers" tableColumnId="2"/>
      <queryTableField id="3" name="revenue" tableColumnId="3"/>
      <queryTableField id="6" dataBound="0" tableColumnId="6"/>
      <queryTableField id="4" name="arpu" tableColumnId="4"/>
      <queryTableField id="5" name="revenue_share" tableColumnId="5"/>
      <queryTableField id="7" dataBound="0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91D38761-817E-4268-BADD-B9237090F162}" autoFormatId="16" applyNumberFormats="0" applyBorderFormats="0" applyFontFormats="0" applyPatternFormats="0" applyAlignmentFormats="0" applyWidthHeightFormats="0">
  <queryTableRefresh nextId="7">
    <queryTableFields count="5">
      <queryTableField id="1" name="contract" tableColumnId="1"/>
      <queryTableField id="2" name="total_customers" tableColumnId="2"/>
      <queryTableField id="3" name="churned_customers" tableColumnId="3"/>
      <queryTableField id="4" name="retained_customers" tableColumnId="4"/>
      <queryTableField id="5" name="churn_ra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62BC50-53DC-4383-9E1B-DCCBCCCDC8D1}" name="executive_kpis" displayName="executive_kpis" ref="A1:E2" tableType="queryTable" totalsRowShown="0">
  <autoFilter ref="A1:E2" xr:uid="{B262BC50-53DC-4383-9E1B-DCCBCCCDC8D1}"/>
  <tableColumns count="5">
    <tableColumn id="1" xr3:uid="{1399A608-8548-49F1-AF23-52C4F634CAA0}" uniqueName="1" name="total_customers" queryTableFieldId="1"/>
    <tableColumn id="2" xr3:uid="{BCC4D377-275B-4DC2-B8FB-E745B71AB349}" uniqueName="2" name="total_mrr" queryTableFieldId="2" dataDxfId="6" dataCellStyle="Currency"/>
    <tableColumn id="3" xr3:uid="{BE204EBC-1569-4F29-9933-34DC658F608E}" uniqueName="3" name="arpu" queryTableFieldId="3" dataCellStyle="Currency"/>
    <tableColumn id="4" xr3:uid="{A6D27907-5144-4191-96F3-751A3CABBAC6}" uniqueName="4" name="churn_rate" queryTableFieldId="4" dataCellStyle="Percent"/>
    <tableColumn id="5" xr3:uid="{B8A0908B-DFED-4084-9EF3-A36DA477C4BA}" uniqueName="5" name="revenue_at_risk" queryTableFieldId="5" dataDxfId="5" dataCellStyle="Currenc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B8CDA3-4AAC-4576-82DE-8E40260451E4}" name="revenue_by_contract" displayName="revenue_by_contract" ref="A1:G4" tableType="queryTable" totalsRowShown="0">
  <autoFilter ref="A1:G4" xr:uid="{4FB8CDA3-4AAC-4576-82DE-8E40260451E4}"/>
  <tableColumns count="7">
    <tableColumn id="1" xr3:uid="{A93C9A45-60C7-4D63-874B-F435D4067ABD}" uniqueName="1" name="contract" queryTableFieldId="1" dataDxfId="4"/>
    <tableColumn id="2" xr3:uid="{70CB45D7-6F9C-470E-BFE2-C3526EF50300}" uniqueName="2" name="customers" queryTableFieldId="2"/>
    <tableColumn id="3" xr3:uid="{2BBD2ACC-B084-4CC7-8BDD-C45F84451778}" uniqueName="3" name="revenue" queryTableFieldId="3" dataDxfId="3" dataCellStyle="Currency"/>
    <tableColumn id="6" xr3:uid="{37D9E306-7CA7-42EC-A431-507F0A04F7ED}" uniqueName="6" name="Format" queryTableFieldId="6" dataDxfId="2" dataCellStyle="Currency">
      <calculatedColumnFormula>"$"&amp;ROUND(revenue_by_contract[[#This Row],[revenue]]/1000,0)</calculatedColumnFormula>
    </tableColumn>
    <tableColumn id="4" xr3:uid="{9FD20DFD-EAA8-40B3-8A6C-AB01D6FC34B3}" uniqueName="4" name="arpu" queryTableFieldId="4"/>
    <tableColumn id="5" xr3:uid="{20CC58B6-6479-44B2-A264-E6E23D4D2C7B}" uniqueName="5" name="revenue_share" queryTableFieldId="5" dataCellStyle="Percent"/>
    <tableColumn id="7" xr3:uid="{44190110-E3CD-4553-88E6-2D66E47E30DD}" uniqueName="7" name="Churn Revenue Impact" queryTableFieldId="7" dataDxfId="1">
      <calculatedColumnFormula>revenue_by_contract[[#This Row],[revenue]]*_xlfn.XLOOKUP(revenue_by_contract[[#This Row],[contract]],'Churn_By_Contract'!A:A,'Churn_By_Contract'!E:E)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5CF025-947A-4E2A-969A-4530F074B9FF}" name="churn_by_contract" displayName="churn_by_contract" ref="A1:E4" tableType="queryTable" totalsRowShown="0">
  <autoFilter ref="A1:E4" xr:uid="{D75CF025-947A-4E2A-969A-4530F074B9FF}"/>
  <tableColumns count="5">
    <tableColumn id="1" xr3:uid="{DAF60DCA-9D69-4789-B322-2592B9B46AB4}" uniqueName="1" name="contract" queryTableFieldId="1" dataDxfId="0"/>
    <tableColumn id="2" xr3:uid="{DC2A261F-1241-43E8-A762-C6F66CBC79AA}" uniqueName="2" name="total_customers" queryTableFieldId="2"/>
    <tableColumn id="3" xr3:uid="{A1C4577B-8D04-436D-B753-D484F7D30E54}" uniqueName="3" name="churned_customers" queryTableFieldId="3"/>
    <tableColumn id="4" xr3:uid="{4AC28738-AA04-490B-B6E9-C573BB01920E}" uniqueName="4" name="retained_customers" queryTableFieldId="4"/>
    <tableColumn id="5" xr3:uid="{7F5F2C22-98F2-4409-9981-9B7D443B3214}" uniqueName="5" name="churn_rate" queryTableFieldId="5" dataCellStyle="Percent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github.com/sherrizhang99-lang/Telco-Churn-Analys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17367-7340-4C72-9AF5-EC80346FEEF1}">
  <sheetPr>
    <tabColor theme="4" tint="-0.249977111117893"/>
    <pageSetUpPr fitToPage="1"/>
  </sheetPr>
  <dimension ref="A1:L53"/>
  <sheetViews>
    <sheetView tabSelected="1" zoomScale="105" zoomScaleNormal="100" zoomScaleSheetLayoutView="81" workbookViewId="0">
      <selection activeCell="N14" sqref="N14"/>
    </sheetView>
  </sheetViews>
  <sheetFormatPr defaultRowHeight="13.7"/>
  <cols>
    <col min="1" max="1" width="13.64453125" style="1" customWidth="1"/>
    <col min="2" max="2" width="12" style="1" bestFit="1" customWidth="1"/>
    <col min="3" max="3" width="11.76171875" style="1" bestFit="1" customWidth="1"/>
    <col min="4" max="4" width="9.46875" style="1" bestFit="1" customWidth="1"/>
    <col min="5" max="5" width="13" style="1" bestFit="1" customWidth="1"/>
    <col min="6" max="11" width="8.9375" style="1"/>
    <col min="12" max="12" width="2.05859375" style="1" customWidth="1"/>
    <col min="13" max="16384" width="8.9375" style="1"/>
  </cols>
  <sheetData>
    <row r="1" spans="1:12" ht="14.35" customHeight="1">
      <c r="A1" s="14" t="s">
        <v>46</v>
      </c>
      <c r="B1" s="14"/>
      <c r="C1" s="16" t="s">
        <v>47</v>
      </c>
      <c r="D1" s="16"/>
      <c r="E1" s="16"/>
      <c r="F1" s="16"/>
      <c r="G1" s="16"/>
      <c r="H1" s="16"/>
      <c r="I1" s="16"/>
      <c r="J1" s="16"/>
      <c r="K1" s="16"/>
      <c r="L1" s="16"/>
    </row>
    <row r="2" spans="1:12" ht="14.35" customHeight="1">
      <c r="A2" s="14" t="s">
        <v>48</v>
      </c>
      <c r="B2" s="14"/>
      <c r="C2" s="16" t="s">
        <v>49</v>
      </c>
      <c r="D2" s="16"/>
      <c r="E2" s="16"/>
      <c r="F2" s="16"/>
      <c r="G2" s="16"/>
      <c r="H2" s="16"/>
      <c r="I2" s="16"/>
      <c r="J2" s="16"/>
      <c r="K2" s="16"/>
      <c r="L2" s="16"/>
    </row>
    <row r="3" spans="1:12" ht="14.35" customHeight="1">
      <c r="A3" s="15" t="s">
        <v>50</v>
      </c>
      <c r="B3" s="15"/>
      <c r="C3" s="17" t="s">
        <v>52</v>
      </c>
      <c r="D3" s="18"/>
      <c r="E3" s="18"/>
      <c r="F3" s="18"/>
      <c r="G3" s="18"/>
      <c r="H3" s="18"/>
      <c r="I3" s="18"/>
      <c r="J3" s="18"/>
      <c r="K3" s="18"/>
      <c r="L3" s="19"/>
    </row>
    <row r="4" spans="1:12" ht="15.35" customHeight="1">
      <c r="A4" s="15"/>
      <c r="B4" s="15"/>
      <c r="C4" s="20" t="s">
        <v>51</v>
      </c>
      <c r="D4" s="21"/>
      <c r="E4" s="21"/>
      <c r="F4" s="21"/>
      <c r="G4" s="21"/>
      <c r="H4" s="21"/>
      <c r="I4" s="21"/>
      <c r="J4" s="21"/>
      <c r="K4" s="21"/>
      <c r="L4" s="22"/>
    </row>
    <row r="5" spans="1:12" ht="30" customHeight="1">
      <c r="A5" s="9" t="s">
        <v>45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17.350000000000001">
      <c r="A6" s="13" t="s">
        <v>25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5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ht="15">
      <c r="A8" s="3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1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ht="1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ht="1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ht="1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ht="1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ht="1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 ht="1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 ht="1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 ht="1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ht="1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ht="1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 ht="1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1:12" ht="23" customHeight="1">
      <c r="A26" s="13" t="s">
        <v>39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7.350000000000001">
      <c r="A27" s="11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7.350000000000001">
      <c r="A28" s="11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7.350000000000001">
      <c r="A29" s="11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7.350000000000001">
      <c r="A30" s="11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7.350000000000001">
      <c r="A31" s="11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7.350000000000001">
      <c r="A32" s="11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7.350000000000001">
      <c r="A33" s="11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27" customHeight="1">
      <c r="A34" s="11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7.350000000000001">
      <c r="A35" s="11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4.35" customHeight="1">
      <c r="A36" s="12"/>
      <c r="B36" s="12"/>
      <c r="C36" s="12"/>
      <c r="D36" s="12"/>
      <c r="E36" s="2"/>
      <c r="F36" s="2"/>
      <c r="G36" s="2"/>
      <c r="H36" s="2"/>
      <c r="I36" s="2"/>
      <c r="J36" s="2"/>
      <c r="K36" s="2"/>
      <c r="L36" s="2"/>
    </row>
    <row r="37" spans="1:12" ht="13.7" customHeight="1">
      <c r="A37" s="12"/>
      <c r="B37" s="12"/>
      <c r="C37" s="12"/>
      <c r="D37" s="12"/>
      <c r="E37" s="2"/>
      <c r="F37" s="2"/>
      <c r="G37" s="2"/>
      <c r="H37" s="2"/>
      <c r="I37" s="2"/>
      <c r="J37" s="2"/>
      <c r="K37" s="2"/>
      <c r="L37" s="2"/>
    </row>
    <row r="38" spans="1:12" ht="13.7" customHeight="1">
      <c r="A38" s="12"/>
      <c r="B38" s="12"/>
      <c r="C38" s="12"/>
      <c r="D38" s="12"/>
      <c r="E38" s="2"/>
      <c r="F38" s="2"/>
      <c r="G38" s="2"/>
      <c r="H38" s="2"/>
      <c r="I38" s="2"/>
      <c r="J38" s="2"/>
      <c r="K38" s="2"/>
      <c r="L38" s="2"/>
    </row>
    <row r="39" spans="1:12" ht="13.7" customHeight="1">
      <c r="A39" s="12"/>
      <c r="B39" s="12"/>
      <c r="C39" s="12"/>
      <c r="D39" s="12"/>
      <c r="E39" s="2"/>
      <c r="F39" s="2"/>
      <c r="G39" s="2"/>
      <c r="H39" s="2"/>
      <c r="I39" s="2"/>
      <c r="J39" s="2"/>
      <c r="K39" s="2"/>
      <c r="L39" s="2"/>
    </row>
    <row r="40" spans="1:12" ht="13.7" customHeight="1">
      <c r="A40" s="12"/>
      <c r="B40" s="12"/>
      <c r="C40" s="12"/>
      <c r="D40" s="12"/>
      <c r="E40" s="2"/>
      <c r="F40" s="2"/>
      <c r="G40" s="2"/>
      <c r="H40" s="2"/>
      <c r="I40" s="2"/>
      <c r="J40" s="2"/>
      <c r="K40" s="2"/>
      <c r="L40" s="2"/>
    </row>
    <row r="41" spans="1:12" ht="13.7" customHeight="1">
      <c r="A41" s="12"/>
      <c r="B41" s="12"/>
      <c r="C41" s="12"/>
      <c r="D41" s="12"/>
      <c r="E41" s="2"/>
      <c r="F41" s="2"/>
      <c r="G41" s="2"/>
      <c r="H41" s="2"/>
      <c r="I41" s="2"/>
      <c r="J41" s="2"/>
      <c r="K41" s="2"/>
      <c r="L41" s="2"/>
    </row>
    <row r="42" spans="1:12" ht="13.7" customHeight="1">
      <c r="A42" s="12"/>
      <c r="B42" s="12"/>
      <c r="C42" s="12"/>
      <c r="D42" s="12"/>
      <c r="E42" s="2"/>
      <c r="F42" s="2"/>
      <c r="G42" s="2"/>
      <c r="H42" s="2"/>
      <c r="I42" s="2"/>
      <c r="J42" s="2"/>
      <c r="K42" s="2"/>
      <c r="L42" s="2"/>
    </row>
    <row r="43" spans="1:12" ht="13.7" customHeight="1">
      <c r="A43" s="12"/>
      <c r="B43" s="12"/>
      <c r="C43" s="12"/>
      <c r="D43" s="12"/>
      <c r="E43" s="2"/>
      <c r="F43" s="2"/>
      <c r="G43" s="2"/>
      <c r="H43" s="2"/>
      <c r="I43" s="2"/>
      <c r="J43" s="2"/>
      <c r="K43" s="2"/>
      <c r="L43" s="2"/>
    </row>
    <row r="44" spans="1:12">
      <c r="A44" s="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3.7" customHeight="1">
      <c r="A45" s="12"/>
      <c r="B45" s="12"/>
      <c r="C45" s="12"/>
      <c r="D45" s="12"/>
      <c r="E45" s="2"/>
      <c r="F45" s="2"/>
      <c r="G45" s="2"/>
      <c r="H45" s="2"/>
      <c r="I45" s="2"/>
      <c r="J45" s="2"/>
      <c r="K45" s="2"/>
      <c r="L45" s="2"/>
    </row>
    <row r="46" spans="1:12" ht="13.7" customHeight="1">
      <c r="A46" s="12"/>
      <c r="B46" s="12"/>
      <c r="C46" s="12"/>
      <c r="D46" s="12"/>
      <c r="E46" s="2"/>
      <c r="F46" s="2"/>
      <c r="G46" s="2"/>
      <c r="H46" s="2"/>
      <c r="I46" s="2"/>
      <c r="J46" s="2"/>
      <c r="K46" s="2"/>
      <c r="L46" s="2"/>
    </row>
    <row r="47" spans="1:12" ht="13.7" customHeight="1">
      <c r="A47" s="12"/>
      <c r="B47" s="12"/>
      <c r="C47" s="12"/>
      <c r="D47" s="12"/>
      <c r="E47" s="2"/>
      <c r="F47" s="2"/>
      <c r="G47" s="2"/>
      <c r="H47" s="2"/>
      <c r="I47" s="2"/>
      <c r="J47" s="2"/>
      <c r="K47" s="2"/>
      <c r="L47" s="2"/>
    </row>
    <row r="48" spans="1:12" ht="13.7" customHeight="1">
      <c r="A48" s="12"/>
      <c r="B48" s="12"/>
      <c r="C48" s="12"/>
      <c r="D48" s="12"/>
      <c r="E48" s="2"/>
      <c r="F48" s="2"/>
      <c r="G48" s="2"/>
      <c r="H48" s="2"/>
      <c r="I48" s="2"/>
      <c r="J48" s="2"/>
      <c r="K48" s="2"/>
      <c r="L48" s="2"/>
    </row>
    <row r="49" spans="1:12" ht="13.7" customHeight="1">
      <c r="A49" s="12"/>
      <c r="B49" s="12"/>
      <c r="C49" s="12"/>
      <c r="D49" s="12"/>
      <c r="E49" s="2"/>
      <c r="F49" s="2"/>
      <c r="G49" s="2"/>
      <c r="H49" s="2"/>
      <c r="I49" s="2"/>
      <c r="J49" s="2"/>
      <c r="K49" s="2"/>
      <c r="L49" s="2"/>
    </row>
    <row r="50" spans="1:12" ht="13.7" customHeight="1">
      <c r="A50" s="12"/>
      <c r="B50" s="12"/>
      <c r="C50" s="12"/>
      <c r="D50" s="12"/>
      <c r="E50" s="2"/>
      <c r="F50" s="2"/>
      <c r="G50" s="2"/>
      <c r="H50" s="2"/>
      <c r="I50" s="2"/>
      <c r="J50" s="2"/>
      <c r="K50" s="2"/>
      <c r="L50" s="2"/>
    </row>
    <row r="51" spans="1:12" ht="13.7" customHeight="1">
      <c r="A51" s="12"/>
      <c r="B51" s="12"/>
      <c r="C51" s="12"/>
      <c r="D51" s="12"/>
      <c r="E51" s="2"/>
      <c r="F51" s="2"/>
      <c r="G51" s="2"/>
      <c r="H51" s="2"/>
      <c r="I51" s="2"/>
      <c r="J51" s="2"/>
      <c r="K51" s="2"/>
      <c r="L51" s="2"/>
    </row>
    <row r="52" spans="1:12" ht="13.7" customHeight="1">
      <c r="A52" s="12"/>
      <c r="B52" s="12"/>
      <c r="C52" s="12"/>
      <c r="D52" s="12"/>
      <c r="E52" s="2"/>
      <c r="F52" s="2"/>
      <c r="G52" s="2"/>
      <c r="H52" s="2"/>
      <c r="I52" s="2"/>
      <c r="J52" s="2"/>
      <c r="K52" s="2"/>
      <c r="L52" s="2"/>
    </row>
    <row r="53" spans="1:12">
      <c r="A53" s="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</sheetData>
  <mergeCells count="7">
    <mergeCell ref="A1:B1"/>
    <mergeCell ref="A2:B2"/>
    <mergeCell ref="A3:B4"/>
    <mergeCell ref="C3:L3"/>
    <mergeCell ref="C4:L4"/>
    <mergeCell ref="C2:L2"/>
    <mergeCell ref="C1:L1"/>
  </mergeCells>
  <hyperlinks>
    <hyperlink ref="C4" r:id="rId1" xr:uid="{989EE98D-B2A9-489B-BB86-5CCB6243C992}"/>
  </hyperlinks>
  <printOptions horizontalCentered="1" verticalCentered="1"/>
  <pageMargins left="0" right="0" top="0" bottom="0" header="0" footer="0"/>
  <pageSetup scale="90" orientation="portrait" horizontalDpi="300" verticalDpi="300" r:id="rId2"/>
  <colBreaks count="1" manualBreakCount="1">
    <brk id="12" min="4" max="37" man="1"/>
  </colBrea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1CBB-6D13-42A1-865C-661A8A2FD5D6}">
  <dimension ref="A1:E2"/>
  <sheetViews>
    <sheetView zoomScale="90" zoomScaleNormal="90" workbookViewId="0">
      <selection activeCell="A26" sqref="A26"/>
    </sheetView>
  </sheetViews>
  <sheetFormatPr defaultRowHeight="14.35"/>
  <cols>
    <col min="1" max="1" width="16.1171875" bestFit="1" customWidth="1"/>
    <col min="2" max="2" width="12" bestFit="1" customWidth="1"/>
    <col min="3" max="3" width="11.76171875" bestFit="1" customWidth="1"/>
    <col min="4" max="4" width="11.52734375" bestFit="1" customWidth="1"/>
    <col min="5" max="5" width="15.585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7043</v>
      </c>
      <c r="B2" s="7">
        <v>456116.6</v>
      </c>
      <c r="C2" s="5">
        <v>64.761692460599178</v>
      </c>
      <c r="D2" s="6">
        <v>0.26540000000000002</v>
      </c>
      <c r="E2" s="7">
        <v>139130.85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603C-4D49-4D99-98A7-C96645C31207}">
  <dimension ref="A1:G4"/>
  <sheetViews>
    <sheetView topLeftCell="B1" workbookViewId="0">
      <selection activeCell="G1" activeCellId="1" sqref="A1:A1048576 G1:G1048576"/>
    </sheetView>
  </sheetViews>
  <sheetFormatPr defaultRowHeight="14.35"/>
  <cols>
    <col min="1" max="1" width="13.703125" bestFit="1" customWidth="1"/>
    <col min="2" max="2" width="11.52734375" bestFit="1" customWidth="1"/>
    <col min="3" max="3" width="12" bestFit="1" customWidth="1"/>
    <col min="4" max="4" width="12" customWidth="1"/>
    <col min="5" max="5" width="11.76171875" bestFit="1" customWidth="1"/>
    <col min="6" max="6" width="14.703125" bestFit="1" customWidth="1"/>
    <col min="7" max="7" width="21.29296875" bestFit="1" customWidth="1"/>
  </cols>
  <sheetData>
    <row r="1" spans="1:7">
      <c r="A1" t="s">
        <v>5</v>
      </c>
      <c r="B1" t="s">
        <v>6</v>
      </c>
      <c r="C1" t="s">
        <v>7</v>
      </c>
      <c r="D1" t="s">
        <v>26</v>
      </c>
      <c r="E1" t="s">
        <v>2</v>
      </c>
      <c r="F1" t="s">
        <v>8</v>
      </c>
      <c r="G1" t="s">
        <v>27</v>
      </c>
    </row>
    <row r="2" spans="1:7">
      <c r="A2" t="s">
        <v>9</v>
      </c>
      <c r="B2">
        <v>3875</v>
      </c>
      <c r="C2" s="7">
        <v>257294.15</v>
      </c>
      <c r="D2" s="7" t="str">
        <f>"$"&amp;ROUND(revenue_by_contract[[#This Row],[revenue]]/1000,0)</f>
        <v>$257</v>
      </c>
      <c r="E2">
        <v>66.398490322580642</v>
      </c>
      <c r="F2" s="6">
        <v>0.56410000000000005</v>
      </c>
      <c r="G2" s="8">
        <f>revenue_by_contract[[#This Row],[revenue]]*_xlfn.XLOOKUP(revenue_by_contract[[#This Row],[contract]],'Churn_By_Contract'!A:A,'Churn_By_Contract'!E:E)</f>
        <v>109890.331465</v>
      </c>
    </row>
    <row r="3" spans="1:7">
      <c r="A3" t="s">
        <v>10</v>
      </c>
      <c r="B3">
        <v>1695</v>
      </c>
      <c r="C3" s="7">
        <v>103005.85</v>
      </c>
      <c r="D3" s="7" t="str">
        <f>"$"&amp;ROUND(revenue_by_contract[[#This Row],[revenue]]/1000,0)</f>
        <v>$103</v>
      </c>
      <c r="E3">
        <v>60.770412979351029</v>
      </c>
      <c r="F3" s="6">
        <v>0.2258</v>
      </c>
      <c r="G3" s="8">
        <f>revenue_by_contract[[#This Row],[revenue]]*_xlfn.XLOOKUP(revenue_by_contract[[#This Row],[contract]],'Churn_By_Contract'!A:A,'Churn_By_Contract'!E:E)</f>
        <v>2915.0655550000001</v>
      </c>
    </row>
    <row r="4" spans="1:7">
      <c r="A4" t="s">
        <v>11</v>
      </c>
      <c r="B4">
        <v>1473</v>
      </c>
      <c r="C4" s="7">
        <v>95816.6</v>
      </c>
      <c r="D4" s="7" t="str">
        <f>"$"&amp;ROUND(revenue_by_contract[[#This Row],[revenue]]/1000,0)</f>
        <v>$96</v>
      </c>
      <c r="E4">
        <v>65.048608282416836</v>
      </c>
      <c r="F4" s="6">
        <v>0.21010000000000001</v>
      </c>
      <c r="G4" s="8">
        <f>revenue_by_contract[[#This Row],[revenue]]*_xlfn.XLOOKUP(revenue_by_contract[[#This Row],[contract]],'Churn_By_Contract'!A:A,'Churn_By_Contract'!E:E)</f>
        <v>10798.53082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01A8-F7A0-4A81-8C3A-13FEDD89B1E3}">
  <dimension ref="A1:E4"/>
  <sheetViews>
    <sheetView workbookViewId="0">
      <selection activeCell="C17" sqref="C17"/>
    </sheetView>
  </sheetViews>
  <sheetFormatPr defaultRowHeight="14.35"/>
  <cols>
    <col min="1" max="1" width="13.703125" bestFit="1" customWidth="1"/>
    <col min="2" max="2" width="16.1171875" bestFit="1" customWidth="1"/>
    <col min="3" max="3" width="18.9375" bestFit="1" customWidth="1"/>
    <col min="4" max="4" width="19.1171875" bestFit="1" customWidth="1"/>
    <col min="5" max="5" width="11.52734375" bestFit="1" customWidth="1"/>
  </cols>
  <sheetData>
    <row r="1" spans="1:5">
      <c r="A1" t="s">
        <v>5</v>
      </c>
      <c r="B1" t="s">
        <v>0</v>
      </c>
      <c r="C1" t="s">
        <v>12</v>
      </c>
      <c r="D1" t="s">
        <v>13</v>
      </c>
      <c r="E1" t="s">
        <v>3</v>
      </c>
    </row>
    <row r="2" spans="1:5">
      <c r="A2" t="s">
        <v>9</v>
      </c>
      <c r="B2">
        <v>3875</v>
      </c>
      <c r="C2">
        <v>1655</v>
      </c>
      <c r="D2">
        <v>2220</v>
      </c>
      <c r="E2" s="6">
        <v>0.42709999999999998</v>
      </c>
    </row>
    <row r="3" spans="1:5">
      <c r="A3" t="s">
        <v>11</v>
      </c>
      <c r="B3">
        <v>1473</v>
      </c>
      <c r="C3">
        <v>166</v>
      </c>
      <c r="D3">
        <v>1307</v>
      </c>
      <c r="E3" s="6">
        <v>0.11269999999999999</v>
      </c>
    </row>
    <row r="4" spans="1:5">
      <c r="A4" t="s">
        <v>10</v>
      </c>
      <c r="B4">
        <v>1695</v>
      </c>
      <c r="C4">
        <v>48</v>
      </c>
      <c r="D4">
        <v>1647</v>
      </c>
      <c r="E4" s="6">
        <v>2.8299999999999999E-2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958A-59D6-471D-A204-2AAEE065EF4F}">
  <dimension ref="A1:D5"/>
  <sheetViews>
    <sheetView workbookViewId="0">
      <selection activeCell="D2" sqref="D2"/>
    </sheetView>
  </sheetViews>
  <sheetFormatPr defaultRowHeight="14.35"/>
  <cols>
    <col min="1" max="1" width="11.703125" bestFit="1" customWidth="1"/>
  </cols>
  <sheetData>
    <row r="1" spans="1:4">
      <c r="A1" t="s">
        <v>19</v>
      </c>
      <c r="B1" t="s">
        <v>6</v>
      </c>
      <c r="C1" t="s">
        <v>12</v>
      </c>
      <c r="D1" t="s">
        <v>3</v>
      </c>
    </row>
    <row r="2" spans="1:4">
      <c r="A2" t="s">
        <v>16</v>
      </c>
      <c r="B2">
        <v>3927</v>
      </c>
      <c r="C2">
        <v>561</v>
      </c>
      <c r="D2" s="6">
        <v>0.1429</v>
      </c>
    </row>
    <row r="3" spans="1:4">
      <c r="A3" t="s">
        <v>17</v>
      </c>
      <c r="B3">
        <v>1047</v>
      </c>
      <c r="C3">
        <v>309</v>
      </c>
      <c r="D3" s="6">
        <v>0.29509999999999997</v>
      </c>
    </row>
    <row r="4" spans="1:4">
      <c r="A4" t="s">
        <v>15</v>
      </c>
      <c r="B4">
        <v>698</v>
      </c>
      <c r="C4">
        <v>255</v>
      </c>
      <c r="D4" s="6">
        <v>0.36530000000000001</v>
      </c>
    </row>
    <row r="5" spans="1:4">
      <c r="A5" t="s">
        <v>18</v>
      </c>
      <c r="B5">
        <v>1371</v>
      </c>
      <c r="C5">
        <v>744</v>
      </c>
      <c r="D5" s="6">
        <v>0.54269999999999996</v>
      </c>
    </row>
  </sheetData>
  <sortState xmlns:xlrd2="http://schemas.microsoft.com/office/spreadsheetml/2017/richdata2" ref="A2:D5">
    <sortCondition ref="D2:D5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E4BA-09DB-4496-95DC-F1EDD5FAD547}">
  <dimension ref="A1:D5"/>
  <sheetViews>
    <sheetView workbookViewId="0">
      <selection activeCell="D5" sqref="D5"/>
    </sheetView>
  </sheetViews>
  <sheetFormatPr defaultRowHeight="14.35"/>
  <sheetData>
    <row r="1" spans="1:4">
      <c r="A1" t="s">
        <v>24</v>
      </c>
      <c r="B1" t="s">
        <v>6</v>
      </c>
      <c r="C1" t="s">
        <v>12</v>
      </c>
      <c r="D1" t="s">
        <v>3</v>
      </c>
    </row>
    <row r="2" spans="1:4">
      <c r="A2" t="s">
        <v>20</v>
      </c>
      <c r="B2">
        <v>1522</v>
      </c>
      <c r="C2">
        <v>232</v>
      </c>
      <c r="D2" s="6">
        <v>0.15240000000000001</v>
      </c>
    </row>
    <row r="3" spans="1:4">
      <c r="A3" t="s">
        <v>21</v>
      </c>
      <c r="B3">
        <v>1544</v>
      </c>
      <c r="C3">
        <v>258</v>
      </c>
      <c r="D3" s="6">
        <v>0.1671</v>
      </c>
    </row>
    <row r="4" spans="1:4">
      <c r="A4" t="s">
        <v>22</v>
      </c>
      <c r="B4">
        <v>1612</v>
      </c>
      <c r="C4">
        <v>308</v>
      </c>
      <c r="D4" s="6">
        <v>0.19109999999999999</v>
      </c>
    </row>
    <row r="5" spans="1:4">
      <c r="A5" t="s">
        <v>23</v>
      </c>
      <c r="B5">
        <v>2365</v>
      </c>
      <c r="C5">
        <v>1071</v>
      </c>
      <c r="D5" s="6">
        <v>0.45290000000000002</v>
      </c>
    </row>
  </sheetData>
  <sortState xmlns:xlrd2="http://schemas.microsoft.com/office/spreadsheetml/2017/richdata2" ref="A2:D5">
    <sortCondition ref="D5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01037-1E9F-442A-ABA0-6F51FE7484B4}">
  <dimension ref="A1:A2"/>
  <sheetViews>
    <sheetView workbookViewId="0">
      <selection activeCell="K21" sqref="K21"/>
    </sheetView>
  </sheetViews>
  <sheetFormatPr defaultRowHeight="14.35"/>
  <sheetData>
    <row r="1" spans="1:1">
      <c r="A1" t="s">
        <v>4</v>
      </c>
    </row>
    <row r="2" spans="1:1">
      <c r="A2">
        <v>139130.85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446F-2EBE-49DF-AE88-D00E4CD7B7D8}">
  <dimension ref="A1:E4"/>
  <sheetViews>
    <sheetView workbookViewId="0">
      <selection activeCell="E9" sqref="E9"/>
    </sheetView>
  </sheetViews>
  <sheetFormatPr defaultRowHeight="14.35"/>
  <cols>
    <col min="2" max="2" width="12" bestFit="1" customWidth="1"/>
    <col min="3" max="3" width="14.3515625" bestFit="1" customWidth="1"/>
    <col min="4" max="4" width="12" bestFit="1" customWidth="1"/>
  </cols>
  <sheetData>
    <row r="1" spans="1:5">
      <c r="A1" t="s">
        <v>5</v>
      </c>
      <c r="B1" t="s">
        <v>37</v>
      </c>
      <c r="C1" t="s">
        <v>38</v>
      </c>
      <c r="D1" t="s">
        <v>28</v>
      </c>
      <c r="E1" t="s">
        <v>29</v>
      </c>
    </row>
    <row r="2" spans="1:5">
      <c r="A2" t="s">
        <v>9</v>
      </c>
      <c r="B2" s="7">
        <v>120847.1</v>
      </c>
      <c r="C2" s="7">
        <v>136447.04999999999</v>
      </c>
      <c r="D2" s="7">
        <f>B2+C2</f>
        <v>257294.15</v>
      </c>
      <c r="E2" s="6">
        <f>B2/D2</f>
        <v>0.46968460029114539</v>
      </c>
    </row>
    <row r="3" spans="1:5">
      <c r="A3" t="s">
        <v>11</v>
      </c>
      <c r="B3" s="7">
        <v>14118.45</v>
      </c>
      <c r="C3" s="7">
        <v>81698.149999999994</v>
      </c>
      <c r="D3" s="7">
        <f>B3+C3</f>
        <v>95816.599999999991</v>
      </c>
      <c r="E3" s="6">
        <f>B3/D3</f>
        <v>0.14734868488341271</v>
      </c>
    </row>
    <row r="4" spans="1:5">
      <c r="A4" t="s">
        <v>10</v>
      </c>
      <c r="B4" s="7">
        <v>4165.3</v>
      </c>
      <c r="C4" s="7">
        <v>98840.55</v>
      </c>
      <c r="D4" s="7">
        <f>B4+C4</f>
        <v>103005.85</v>
      </c>
      <c r="E4" s="6">
        <f>B4/D4</f>
        <v>4.0437509131762903E-2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57818-8E77-4302-B919-F2612BCEDEC6}">
  <dimension ref="A1:E4"/>
  <sheetViews>
    <sheetView workbookViewId="0">
      <selection activeCell="D3" sqref="D3"/>
    </sheetView>
  </sheetViews>
  <sheetFormatPr defaultRowHeight="14.35"/>
  <cols>
    <col min="1" max="1" width="13.703125" bestFit="1" customWidth="1"/>
    <col min="2" max="2" width="9.1171875" bestFit="1" customWidth="1"/>
    <col min="4" max="4" width="11.703125" bestFit="1" customWidth="1"/>
    <col min="5" max="5" width="9.76171875" bestFit="1" customWidth="1"/>
  </cols>
  <sheetData>
    <row r="1" spans="1:5">
      <c r="A1" t="s">
        <v>5</v>
      </c>
      <c r="B1" t="s">
        <v>6</v>
      </c>
      <c r="C1" t="s">
        <v>2</v>
      </c>
      <c r="D1" t="s">
        <v>14</v>
      </c>
      <c r="E1" t="s">
        <v>7</v>
      </c>
    </row>
    <row r="2" spans="1:5">
      <c r="A2" t="s">
        <v>10</v>
      </c>
      <c r="B2">
        <v>1695</v>
      </c>
      <c r="C2">
        <v>60.770412979351001</v>
      </c>
      <c r="D2" s="6">
        <v>0.97170000000000001</v>
      </c>
      <c r="E2">
        <v>103005.85</v>
      </c>
    </row>
    <row r="3" spans="1:5">
      <c r="A3" t="s">
        <v>11</v>
      </c>
      <c r="B3">
        <v>1473</v>
      </c>
      <c r="C3">
        <v>65.048608282416794</v>
      </c>
      <c r="D3" s="6">
        <v>0.88729999999999998</v>
      </c>
      <c r="E3">
        <v>95816.6</v>
      </c>
    </row>
    <row r="4" spans="1:5">
      <c r="A4" t="s">
        <v>9</v>
      </c>
      <c r="B4">
        <v>3875</v>
      </c>
      <c r="C4">
        <v>66.398490322580599</v>
      </c>
      <c r="D4" s="6">
        <v>0.57289999999999996</v>
      </c>
      <c r="E4">
        <v>257294.15</v>
      </c>
    </row>
  </sheetData>
  <sortState xmlns:xlrd2="http://schemas.microsoft.com/office/spreadsheetml/2017/richdata2" ref="A2:E4">
    <sortCondition descending="1" ref="D3:D4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1A019-1917-4B3D-828F-FFBFB6E79578}">
  <dimension ref="A1:F8"/>
  <sheetViews>
    <sheetView workbookViewId="0">
      <selection activeCell="D9" sqref="D9"/>
    </sheetView>
  </sheetViews>
  <sheetFormatPr defaultRowHeight="14.35"/>
  <cols>
    <col min="1" max="1" width="19.87890625" bestFit="1" customWidth="1"/>
    <col min="2" max="2" width="14.52734375" bestFit="1" customWidth="1"/>
    <col min="3" max="3" width="12" bestFit="1" customWidth="1"/>
    <col min="4" max="4" width="18.76171875" bestFit="1" customWidth="1"/>
    <col min="5" max="5" width="13.87890625" bestFit="1" customWidth="1"/>
    <col min="6" max="6" width="12" bestFit="1" customWidth="1"/>
  </cols>
  <sheetData>
    <row r="1" spans="1:6">
      <c r="A1" t="s">
        <v>35</v>
      </c>
      <c r="B1" t="s">
        <v>34</v>
      </c>
      <c r="C1" t="s">
        <v>33</v>
      </c>
      <c r="D1" t="s">
        <v>32</v>
      </c>
      <c r="E1" t="s">
        <v>31</v>
      </c>
      <c r="F1" t="s">
        <v>30</v>
      </c>
    </row>
    <row r="2" spans="1:6">
      <c r="A2" t="s">
        <v>9</v>
      </c>
      <c r="B2" t="s">
        <v>10</v>
      </c>
      <c r="C2" s="7">
        <v>154288.29999999999</v>
      </c>
      <c r="D2" s="7">
        <v>138614.10459910499</v>
      </c>
      <c r="E2" s="7">
        <v>15674.195400894399</v>
      </c>
      <c r="F2" s="7">
        <v>154288.29999999999</v>
      </c>
    </row>
    <row r="4" spans="1:6">
      <c r="A4" t="s">
        <v>43</v>
      </c>
      <c r="B4" t="s">
        <v>44</v>
      </c>
    </row>
    <row r="5" spans="1:6">
      <c r="A5" t="s">
        <v>40</v>
      </c>
      <c r="B5" s="7">
        <f>Driver_Tree!E2</f>
        <v>103005.85</v>
      </c>
    </row>
    <row r="6" spans="1:6">
      <c r="A6" t="s">
        <v>41</v>
      </c>
      <c r="B6" s="7">
        <f>D2</f>
        <v>138614.10459910499</v>
      </c>
    </row>
    <row r="7" spans="1:6">
      <c r="A7" t="s">
        <v>36</v>
      </c>
      <c r="B7" s="7">
        <f>E2</f>
        <v>15674.195400894399</v>
      </c>
    </row>
    <row r="8" spans="1:6">
      <c r="A8" t="s">
        <v>42</v>
      </c>
      <c r="B8" s="7">
        <f>B5+B6+B7</f>
        <v>257294.14999999938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A8E469-A294-4D3A-97DF-250FE3DD67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Dashboard</vt:lpstr>
      <vt:lpstr>Executive_KPIs</vt:lpstr>
      <vt:lpstr>Revenue_By_Contract</vt:lpstr>
      <vt:lpstr>Churn_By_Contract</vt:lpstr>
      <vt:lpstr>Churn_By_Tenure</vt:lpstr>
      <vt:lpstr>Churn_By_Payment</vt:lpstr>
      <vt:lpstr>Revenue_At_Risk</vt:lpstr>
      <vt:lpstr>Revenue_Dropoff</vt:lpstr>
      <vt:lpstr>Driver_Tree</vt:lpstr>
      <vt:lpstr>Revenue_Decomposition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Zhengxuan Zhang</dc:creator>
  <cp:lastModifiedBy>Zhengxuan Zhang</cp:lastModifiedBy>
  <cp:lastPrinted>2026-03-07T00:52:58Z</cp:lastPrinted>
  <dcterms:created xsi:type="dcterms:W3CDTF">2026-03-06T04:14:45Z</dcterms:created>
  <dcterms:modified xsi:type="dcterms:W3CDTF">2026-03-07T00:53:28Z</dcterms:modified>
</cp:coreProperties>
</file>